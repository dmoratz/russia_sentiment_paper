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My PC (LAPTOP-IKUHQKMA)\Documents\GitHub\russia_sentiment_paper\data\"/>
    </mc:Choice>
  </mc:AlternateContent>
  <xr:revisionPtr revIDLastSave="0" documentId="8_{9C535AB5-21AB-4510-9CB8-1A4630A700BC}" xr6:coauthVersionLast="47" xr6:coauthVersionMax="47" xr10:uidLastSave="{00000000-0000-0000-0000-000000000000}"/>
  <bookViews>
    <workbookView xWindow="28680" yWindow="-120" windowWidth="29040" windowHeight="15720" xr2:uid="{FCB7CB41-B692-436C-843A-4F17D898C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D19" i="1"/>
  <c r="C19" i="1"/>
  <c r="B19" i="1"/>
  <c r="F18" i="1"/>
  <c r="G18" i="1" s="1"/>
  <c r="F17" i="1"/>
  <c r="G17" i="1" s="1"/>
  <c r="E14" i="1"/>
  <c r="D14" i="1"/>
  <c r="C14" i="1"/>
  <c r="B14" i="1"/>
  <c r="F13" i="1"/>
  <c r="G13" i="1" s="1"/>
  <c r="F12" i="1"/>
  <c r="G12" i="1" s="1"/>
  <c r="E9" i="1"/>
  <c r="D9" i="1"/>
  <c r="C9" i="1"/>
  <c r="B9" i="1"/>
  <c r="F9" i="1" s="1"/>
  <c r="F8" i="1"/>
  <c r="G8" i="1" s="1"/>
  <c r="F7" i="1"/>
  <c r="G7" i="1" s="1"/>
  <c r="F3" i="1"/>
  <c r="G3" i="1" s="1"/>
  <c r="F2" i="1"/>
  <c r="G2" i="1" s="1"/>
  <c r="D4" i="1"/>
  <c r="C4" i="1"/>
  <c r="B4" i="1"/>
  <c r="F4" i="1" s="1"/>
  <c r="G4" i="1" s="1"/>
  <c r="E4" i="1"/>
  <c r="F19" i="1" l="1"/>
  <c r="G19" i="1" s="1"/>
  <c r="F14" i="1"/>
  <c r="G14" i="1" s="1"/>
  <c r="G9" i="1"/>
</calcChain>
</file>

<file path=xl/sharedStrings.xml><?xml version="1.0" encoding="utf-8"?>
<sst xmlns="http://schemas.openxmlformats.org/spreadsheetml/2006/main" count="41" uniqueCount="14">
  <si>
    <t>Belarus</t>
  </si>
  <si>
    <t>Import</t>
  </si>
  <si>
    <t>Export</t>
  </si>
  <si>
    <t>Total</t>
  </si>
  <si>
    <t>Europe</t>
  </si>
  <si>
    <t>Russia</t>
  </si>
  <si>
    <t>North America</t>
  </si>
  <si>
    <t>World</t>
  </si>
  <si>
    <t>West</t>
  </si>
  <si>
    <t>Percent</t>
  </si>
  <si>
    <t>Kazakhstan</t>
  </si>
  <si>
    <t>Azerbaijan</t>
  </si>
  <si>
    <t>Armenia</t>
  </si>
  <si>
    <t>https://wits.worldbank.org/CountryProfile/en/Country/ARM/Year/2021/TradeFlow/EXPIMP/Partner/all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</si>
</sst>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B9CC-AEAF-44AF-A535-5339582CC0B7}">
  <dimension ref="A1:G21"/>
  <sheetViews>
    <sheetView tabSelected="1" workbookViewId="0">
      <selection activeCell="A21" sqref="A21"/>
    </sheetView>
  </sheetViews>
  <sheetFormatPr defaultRowHeight="14.4" x14ac:dyDescent="0.3"/>
  <sheetData>
    <row r="1" spans="1:7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 t="s">
        <v>2</v>
      </c>
      <c r="B2">
        <v>22500</v>
      </c>
      <c r="C2">
        <v>13972</v>
      </c>
      <c r="D2">
        <v>186</v>
      </c>
      <c r="E2">
        <v>39889</v>
      </c>
      <c r="F2">
        <f>B2-C2+D2</f>
        <v>8714</v>
      </c>
      <c r="G2">
        <f>F2/E2</f>
        <v>0.21845621599939832</v>
      </c>
    </row>
    <row r="3" spans="1:7" x14ac:dyDescent="0.3">
      <c r="A3" t="s">
        <v>1</v>
      </c>
      <c r="B3">
        <v>21105</v>
      </c>
      <c r="C3">
        <v>11949</v>
      </c>
      <c r="D3">
        <v>432</v>
      </c>
      <c r="E3">
        <v>41811</v>
      </c>
      <c r="F3">
        <f t="shared" ref="F3:F4" si="0">B3-C3+D3</f>
        <v>9588</v>
      </c>
      <c r="G3">
        <f t="shared" ref="G3:G4" si="1">F3/E3</f>
        <v>0.22931764368228458</v>
      </c>
    </row>
    <row r="4" spans="1:7" x14ac:dyDescent="0.3">
      <c r="A4" t="s">
        <v>3</v>
      </c>
      <c r="B4">
        <f t="shared" ref="B4:D4" si="2">SUM(B2:B3)</f>
        <v>43605</v>
      </c>
      <c r="C4">
        <f t="shared" si="2"/>
        <v>25921</v>
      </c>
      <c r="D4">
        <f t="shared" si="2"/>
        <v>618</v>
      </c>
      <c r="E4">
        <f>SUM(E2:E3)</f>
        <v>81700</v>
      </c>
      <c r="F4">
        <f t="shared" si="0"/>
        <v>18302</v>
      </c>
      <c r="G4" s="1">
        <f t="shared" si="1"/>
        <v>0.22401468788249693</v>
      </c>
    </row>
    <row r="6" spans="1:7" x14ac:dyDescent="0.3">
      <c r="A6" t="s">
        <v>10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</row>
    <row r="7" spans="1:7" x14ac:dyDescent="0.3">
      <c r="A7" t="s">
        <v>2</v>
      </c>
      <c r="B7">
        <v>37106</v>
      </c>
      <c r="C7">
        <v>7019</v>
      </c>
      <c r="D7">
        <v>1162</v>
      </c>
      <c r="E7">
        <v>53069</v>
      </c>
      <c r="F7">
        <f>B7-C7+D7</f>
        <v>31249</v>
      </c>
      <c r="G7">
        <f>F7/E7</f>
        <v>0.58883717424485105</v>
      </c>
    </row>
    <row r="8" spans="1:7" x14ac:dyDescent="0.3">
      <c r="A8" t="s">
        <v>1</v>
      </c>
      <c r="B8">
        <v>23495</v>
      </c>
      <c r="C8">
        <v>17605</v>
      </c>
      <c r="D8">
        <v>438</v>
      </c>
      <c r="E8">
        <v>27752</v>
      </c>
      <c r="F8">
        <f t="shared" ref="F8:F9" si="3">B8-C8+D8</f>
        <v>6328</v>
      </c>
      <c r="G8">
        <f t="shared" ref="G8:G9" si="4">F8/E8</f>
        <v>0.22801960219083309</v>
      </c>
    </row>
    <row r="9" spans="1:7" x14ac:dyDescent="0.3">
      <c r="A9" t="s">
        <v>3</v>
      </c>
      <c r="B9">
        <f t="shared" ref="B9" si="5">SUM(B7:B8)</f>
        <v>60601</v>
      </c>
      <c r="C9">
        <f t="shared" ref="C9" si="6">SUM(C7:C8)</f>
        <v>24624</v>
      </c>
      <c r="D9">
        <f t="shared" ref="D9" si="7">SUM(D7:D8)</f>
        <v>1600</v>
      </c>
      <c r="E9">
        <f>SUM(E7:E8)</f>
        <v>80821</v>
      </c>
      <c r="F9">
        <f t="shared" si="3"/>
        <v>37577</v>
      </c>
      <c r="G9" s="1">
        <f t="shared" si="4"/>
        <v>0.46494104255082219</v>
      </c>
    </row>
    <row r="11" spans="1:7" x14ac:dyDescent="0.3">
      <c r="A11" t="s">
        <v>11</v>
      </c>
      <c r="B11" t="s">
        <v>4</v>
      </c>
      <c r="C11" t="s">
        <v>5</v>
      </c>
      <c r="D11" t="s">
        <v>6</v>
      </c>
      <c r="E11" t="s">
        <v>7</v>
      </c>
      <c r="F11" t="s">
        <v>8</v>
      </c>
      <c r="G11" t="s">
        <v>9</v>
      </c>
    </row>
    <row r="12" spans="1:7" x14ac:dyDescent="0.3">
      <c r="A12" t="s">
        <v>2</v>
      </c>
      <c r="B12">
        <v>19053</v>
      </c>
      <c r="C12">
        <v>921</v>
      </c>
      <c r="D12">
        <v>297</v>
      </c>
      <c r="E12">
        <v>22207</v>
      </c>
      <c r="F12">
        <f>B12-C12+D12</f>
        <v>18429</v>
      </c>
      <c r="G12">
        <f>F12/E12</f>
        <v>0.82987346332237588</v>
      </c>
    </row>
    <row r="13" spans="1:7" x14ac:dyDescent="0.3">
      <c r="A13" t="s">
        <v>1</v>
      </c>
      <c r="B13">
        <v>7562</v>
      </c>
      <c r="C13">
        <v>2073</v>
      </c>
      <c r="D13">
        <v>454</v>
      </c>
      <c r="E13">
        <v>11696</v>
      </c>
      <c r="F13">
        <f t="shared" ref="F13:F14" si="8">B13-C13+D13</f>
        <v>5943</v>
      </c>
      <c r="G13">
        <f t="shared" ref="G13:G14" si="9">F13/E13</f>
        <v>0.50812243502051979</v>
      </c>
    </row>
    <row r="14" spans="1:7" x14ac:dyDescent="0.3">
      <c r="A14" t="s">
        <v>3</v>
      </c>
      <c r="B14">
        <f t="shared" ref="B14" si="10">SUM(B12:B13)</f>
        <v>26615</v>
      </c>
      <c r="C14">
        <f t="shared" ref="C14" si="11">SUM(C12:C13)</f>
        <v>2994</v>
      </c>
      <c r="D14">
        <f t="shared" ref="D14" si="12">SUM(D12:D13)</f>
        <v>751</v>
      </c>
      <c r="E14">
        <f>SUM(E12:E13)</f>
        <v>33903</v>
      </c>
      <c r="F14">
        <f t="shared" si="8"/>
        <v>24372</v>
      </c>
      <c r="G14" s="1">
        <f t="shared" si="9"/>
        <v>0.71887443589062916</v>
      </c>
    </row>
    <row r="16" spans="1:7" x14ac:dyDescent="0.3">
      <c r="A16" t="s">
        <v>12</v>
      </c>
      <c r="B16" t="s">
        <v>4</v>
      </c>
      <c r="C16" t="s">
        <v>5</v>
      </c>
      <c r="D16" t="s">
        <v>6</v>
      </c>
      <c r="E16" t="s">
        <v>7</v>
      </c>
      <c r="F16" t="s">
        <v>8</v>
      </c>
      <c r="G16" t="s">
        <v>9</v>
      </c>
    </row>
    <row r="17" spans="1:7" x14ac:dyDescent="0.3">
      <c r="A17" t="s">
        <v>2</v>
      </c>
      <c r="B17">
        <v>1973</v>
      </c>
      <c r="C17">
        <v>794</v>
      </c>
      <c r="D17">
        <v>86</v>
      </c>
      <c r="E17">
        <v>2965</v>
      </c>
      <c r="F17">
        <f>B17-C17+D17</f>
        <v>1265</v>
      </c>
      <c r="G17">
        <f>F17/E17</f>
        <v>0.42664418212478922</v>
      </c>
    </row>
    <row r="18" spans="1:7" x14ac:dyDescent="0.3">
      <c r="A18" t="s">
        <v>1</v>
      </c>
      <c r="B18">
        <v>3203</v>
      </c>
      <c r="C18">
        <v>1785</v>
      </c>
      <c r="D18">
        <v>127</v>
      </c>
      <c r="E18">
        <v>5324</v>
      </c>
      <c r="F18">
        <f t="shared" ref="F18:F19" si="13">B18-C18+D18</f>
        <v>1545</v>
      </c>
      <c r="G18">
        <f t="shared" ref="G18:G19" si="14">F18/E18</f>
        <v>0.29019534184823442</v>
      </c>
    </row>
    <row r="19" spans="1:7" x14ac:dyDescent="0.3">
      <c r="A19" t="s">
        <v>3</v>
      </c>
      <c r="B19">
        <f t="shared" ref="B19" si="15">SUM(B17:B18)</f>
        <v>5176</v>
      </c>
      <c r="C19">
        <f t="shared" ref="C19" si="16">SUM(C17:C18)</f>
        <v>2579</v>
      </c>
      <c r="D19">
        <f t="shared" ref="D19" si="17">SUM(D17:D18)</f>
        <v>213</v>
      </c>
      <c r="E19">
        <f>SUM(E17:E18)</f>
        <v>8289</v>
      </c>
      <c r="F19">
        <f t="shared" si="13"/>
        <v>2810</v>
      </c>
      <c r="G19" s="1">
        <f t="shared" si="14"/>
        <v>0.33900349861261914</v>
      </c>
    </row>
    <row r="21" spans="1:7" x14ac:dyDescent="0.3">
      <c r="A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Moratz, Donald</dc:creator>
  <cp:lastModifiedBy>Moratz, Donald</cp:lastModifiedBy>
  <dcterms:created xsi:type="dcterms:W3CDTF">2026-03-05T16:17:03Z</dcterms:created>
  <dcterms:modified xsi:type="dcterms:W3CDTF">2026-03-05T16:58:55Z</dcterms:modified>
</cp:coreProperties>
</file>