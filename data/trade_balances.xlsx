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ybl\Dropbox\My PC (LAPTOP-IKUHQKMA)\Documents\GitHub\russia_sentiment_paper\data\"/>
    </mc:Choice>
  </mc:AlternateContent>
  <xr:revisionPtr revIDLastSave="0" documentId="13_ncr:1_{87589DB4-B846-48F5-B027-8027DA12E289}" xr6:coauthVersionLast="47" xr6:coauthVersionMax="47" xr10:uidLastSave="{00000000-0000-0000-0000-000000000000}"/>
  <bookViews>
    <workbookView xWindow="-120" yWindow="-120" windowWidth="29040" windowHeight="15720" activeTab="1" xr2:uid="{FCB7CB41-B692-436C-843A-4F17D898C438}"/>
  </bookViews>
  <sheets>
    <sheet name="2021" sheetId="1" r:id="rId1"/>
    <sheet name="2022" sheetId="2" r:id="rId2"/>
    <sheet name="202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" i="2" l="1"/>
  <c r="Q18" i="2"/>
  <c r="Q17" i="2"/>
  <c r="Q14" i="2"/>
  <c r="Q13" i="2"/>
  <c r="Q12" i="2"/>
  <c r="Q9" i="2"/>
  <c r="Q8" i="2"/>
  <c r="Q7" i="2"/>
  <c r="H19" i="1"/>
  <c r="H18" i="1"/>
  <c r="H17" i="1"/>
  <c r="H14" i="1"/>
  <c r="H13" i="1"/>
  <c r="H12" i="1"/>
  <c r="H9" i="1"/>
  <c r="H8" i="1"/>
  <c r="H7" i="1"/>
  <c r="H4" i="1"/>
  <c r="H3" i="1"/>
  <c r="H2" i="1"/>
  <c r="H19" i="2"/>
  <c r="H18" i="2"/>
  <c r="H17" i="2"/>
  <c r="H14" i="2"/>
  <c r="H13" i="2"/>
  <c r="H12" i="2"/>
  <c r="H9" i="2"/>
  <c r="H8" i="2"/>
  <c r="H7" i="2"/>
  <c r="H4" i="2"/>
  <c r="H3" i="2"/>
  <c r="H2" i="2"/>
  <c r="P9" i="2"/>
  <c r="P14" i="2"/>
  <c r="P19" i="2"/>
  <c r="P18" i="2"/>
  <c r="P17" i="2"/>
  <c r="P13" i="2"/>
  <c r="P12" i="2"/>
  <c r="P8" i="2"/>
  <c r="P7" i="2"/>
  <c r="N18" i="2"/>
  <c r="M18" i="2"/>
  <c r="L18" i="2"/>
  <c r="K18" i="2"/>
  <c r="O18" i="2" s="1"/>
  <c r="N17" i="2"/>
  <c r="N19" i="2" s="1"/>
  <c r="M17" i="2"/>
  <c r="M19" i="2" s="1"/>
  <c r="L17" i="2"/>
  <c r="L19" i="2" s="1"/>
  <c r="K17" i="2"/>
  <c r="K19" i="2" s="1"/>
  <c r="O19" i="2" s="1"/>
  <c r="N13" i="2"/>
  <c r="M13" i="2"/>
  <c r="L13" i="2"/>
  <c r="K13" i="2"/>
  <c r="O13" i="2" s="1"/>
  <c r="N12" i="2"/>
  <c r="M12" i="2"/>
  <c r="L12" i="2"/>
  <c r="L14" i="2" s="1"/>
  <c r="K12" i="2"/>
  <c r="K14" i="2" s="1"/>
  <c r="O14" i="2" s="1"/>
  <c r="N8" i="2"/>
  <c r="M8" i="2"/>
  <c r="L8" i="2"/>
  <c r="K8" i="2"/>
  <c r="O8" i="2" s="1"/>
  <c r="N7" i="2"/>
  <c r="M7" i="2"/>
  <c r="L7" i="2"/>
  <c r="K7" i="2"/>
  <c r="K9" i="2" s="1"/>
  <c r="N14" i="2"/>
  <c r="M14" i="2"/>
  <c r="N9" i="2"/>
  <c r="M9" i="2"/>
  <c r="L9" i="2"/>
  <c r="E19" i="3"/>
  <c r="D19" i="3"/>
  <c r="C19" i="3"/>
  <c r="B19" i="3"/>
  <c r="F19" i="3" s="1"/>
  <c r="G19" i="3" s="1"/>
  <c r="F18" i="3"/>
  <c r="G18" i="3" s="1"/>
  <c r="F17" i="3"/>
  <c r="G17" i="3" s="1"/>
  <c r="E14" i="3"/>
  <c r="D14" i="3"/>
  <c r="C14" i="3"/>
  <c r="B14" i="3"/>
  <c r="F14" i="3" s="1"/>
  <c r="G14" i="3" s="1"/>
  <c r="F13" i="3"/>
  <c r="G13" i="3" s="1"/>
  <c r="F12" i="3"/>
  <c r="G12" i="3" s="1"/>
  <c r="E9" i="3"/>
  <c r="D9" i="3"/>
  <c r="F9" i="3" s="1"/>
  <c r="G9" i="3" s="1"/>
  <c r="C9" i="3"/>
  <c r="B9" i="3"/>
  <c r="F8" i="3"/>
  <c r="G8" i="3" s="1"/>
  <c r="G7" i="3"/>
  <c r="F7" i="3"/>
  <c r="O4" i="3"/>
  <c r="N4" i="3"/>
  <c r="M4" i="3"/>
  <c r="L4" i="3"/>
  <c r="K4" i="3"/>
  <c r="P4" i="3" s="1"/>
  <c r="Q4" i="3" s="1"/>
  <c r="E4" i="3"/>
  <c r="D4" i="3"/>
  <c r="C4" i="3"/>
  <c r="B4" i="3"/>
  <c r="F4" i="3" s="1"/>
  <c r="G4" i="3" s="1"/>
  <c r="P3" i="3"/>
  <c r="Q3" i="3" s="1"/>
  <c r="F3" i="3"/>
  <c r="G3" i="3" s="1"/>
  <c r="Q2" i="3"/>
  <c r="P2" i="3"/>
  <c r="G2" i="3"/>
  <c r="F2" i="3"/>
  <c r="E19" i="2"/>
  <c r="D19" i="2"/>
  <c r="C19" i="2"/>
  <c r="B19" i="2"/>
  <c r="F18" i="2"/>
  <c r="G18" i="2" s="1"/>
  <c r="F17" i="2"/>
  <c r="G17" i="2" s="1"/>
  <c r="E14" i="2"/>
  <c r="D14" i="2"/>
  <c r="C14" i="2"/>
  <c r="B14" i="2"/>
  <c r="F13" i="2"/>
  <c r="G13" i="2" s="1"/>
  <c r="F12" i="2"/>
  <c r="G12" i="2" s="1"/>
  <c r="E9" i="2"/>
  <c r="D9" i="2"/>
  <c r="F9" i="2" s="1"/>
  <c r="C9" i="2"/>
  <c r="B9" i="2"/>
  <c r="F8" i="2"/>
  <c r="G8" i="2" s="1"/>
  <c r="F7" i="2"/>
  <c r="G7" i="2" s="1"/>
  <c r="O4" i="2"/>
  <c r="N4" i="2"/>
  <c r="M4" i="2"/>
  <c r="L4" i="2"/>
  <c r="K4" i="2"/>
  <c r="P4" i="2" s="1"/>
  <c r="Q4" i="2" s="1"/>
  <c r="E4" i="2"/>
  <c r="D4" i="2"/>
  <c r="C4" i="2"/>
  <c r="B4" i="2"/>
  <c r="F4" i="2" s="1"/>
  <c r="G4" i="2" s="1"/>
  <c r="P3" i="2"/>
  <c r="Q3" i="2" s="1"/>
  <c r="F3" i="2"/>
  <c r="G3" i="2" s="1"/>
  <c r="Q2" i="2"/>
  <c r="P2" i="2"/>
  <c r="F2" i="2"/>
  <c r="G2" i="2" s="1"/>
  <c r="N4" i="1"/>
  <c r="P3" i="1"/>
  <c r="Q3" i="1" s="1"/>
  <c r="P2" i="1"/>
  <c r="Q2" i="1" s="1"/>
  <c r="O4" i="1"/>
  <c r="M4" i="1"/>
  <c r="L4" i="1"/>
  <c r="K4" i="1"/>
  <c r="E19" i="1"/>
  <c r="D19" i="1"/>
  <c r="C19" i="1"/>
  <c r="B19" i="1"/>
  <c r="F18" i="1"/>
  <c r="G18" i="1" s="1"/>
  <c r="F17" i="1"/>
  <c r="G17" i="1" s="1"/>
  <c r="E14" i="1"/>
  <c r="D14" i="1"/>
  <c r="C14" i="1"/>
  <c r="B14" i="1"/>
  <c r="F13" i="1"/>
  <c r="G13" i="1" s="1"/>
  <c r="F12" i="1"/>
  <c r="G12" i="1" s="1"/>
  <c r="E9" i="1"/>
  <c r="D9" i="1"/>
  <c r="C9" i="1"/>
  <c r="B9" i="1"/>
  <c r="F8" i="1"/>
  <c r="G8" i="1" s="1"/>
  <c r="F7" i="1"/>
  <c r="G7" i="1" s="1"/>
  <c r="F3" i="1"/>
  <c r="G3" i="1" s="1"/>
  <c r="F2" i="1"/>
  <c r="G2" i="1" s="1"/>
  <c r="D4" i="1"/>
  <c r="C4" i="1"/>
  <c r="B4" i="1"/>
  <c r="E4" i="1"/>
  <c r="O17" i="2" l="1"/>
  <c r="O12" i="2"/>
  <c r="O7" i="2"/>
  <c r="O9" i="2"/>
  <c r="G9" i="2"/>
  <c r="F14" i="2"/>
  <c r="G14" i="2" s="1"/>
  <c r="F19" i="2"/>
  <c r="G19" i="2" s="1"/>
  <c r="P4" i="1"/>
  <c r="Q4" i="1" s="1"/>
  <c r="F9" i="1"/>
  <c r="F4" i="1"/>
  <c r="G4" i="1" s="1"/>
  <c r="F19" i="1"/>
  <c r="G19" i="1" s="1"/>
  <c r="F14" i="1"/>
  <c r="G14" i="1" s="1"/>
  <c r="G9" i="1"/>
</calcChain>
</file>

<file path=xl/sharedStrings.xml><?xml version="1.0" encoding="utf-8"?>
<sst xmlns="http://schemas.openxmlformats.org/spreadsheetml/2006/main" count="195" uniqueCount="17">
  <si>
    <t>Belarus</t>
  </si>
  <si>
    <t>Import</t>
  </si>
  <si>
    <t>Export</t>
  </si>
  <si>
    <t>Total</t>
  </si>
  <si>
    <t>Europe</t>
  </si>
  <si>
    <t>Russia</t>
  </si>
  <si>
    <t>North America</t>
  </si>
  <si>
    <t>World</t>
  </si>
  <si>
    <t>West</t>
  </si>
  <si>
    <t>Percent</t>
  </si>
  <si>
    <t>Kazakhstan</t>
  </si>
  <si>
    <t>Azerbaijan</t>
  </si>
  <si>
    <t>Armenia</t>
  </si>
  <si>
    <t>https://wits.worldbank.org/CountryProfile/en/Country/ARM/Year/2021/TradeFlow/EXPIMP/Partner/all</t>
  </si>
  <si>
    <t>CSTO in Sample</t>
  </si>
  <si>
    <t>West Percent</t>
  </si>
  <si>
    <t>Russia 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</si>
</sst>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0" fontId="2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its.worldbank.org/CountryProfile/en/Country/ARM/Year/2021/TradeFlow/EXPIMP/Partner/a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2B9CC-AEAF-44AF-A535-5339582CC0B7}">
  <dimension ref="A1:Q22"/>
  <sheetViews>
    <sheetView workbookViewId="0">
      <selection activeCell="I12" sqref="I12"/>
    </sheetView>
  </sheetViews>
  <sheetFormatPr defaultRowHeight="15" x14ac:dyDescent="0.25"/>
  <sheetData>
    <row r="1" spans="1:17" x14ac:dyDescent="0.25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16</v>
      </c>
      <c r="J1" t="s">
        <v>5</v>
      </c>
      <c r="K1" t="s">
        <v>0</v>
      </c>
      <c r="L1" t="s">
        <v>10</v>
      </c>
      <c r="M1" t="s">
        <v>11</v>
      </c>
      <c r="N1" t="s">
        <v>12</v>
      </c>
      <c r="O1" t="s">
        <v>7</v>
      </c>
      <c r="P1" t="s">
        <v>14</v>
      </c>
      <c r="Q1" t="s">
        <v>9</v>
      </c>
    </row>
    <row r="2" spans="1:17" x14ac:dyDescent="0.25">
      <c r="A2" t="s">
        <v>2</v>
      </c>
      <c r="B2">
        <v>22500</v>
      </c>
      <c r="C2">
        <v>13972</v>
      </c>
      <c r="D2">
        <v>186</v>
      </c>
      <c r="E2">
        <v>39889</v>
      </c>
      <c r="F2">
        <f>B2-C2+D2</f>
        <v>8714</v>
      </c>
      <c r="G2">
        <f>F2/E2</f>
        <v>0.21845621599939832</v>
      </c>
      <c r="H2" s="1">
        <f>C2/E2</f>
        <v>0.35027200481335707</v>
      </c>
      <c r="J2" t="s">
        <v>2</v>
      </c>
      <c r="K2">
        <v>23130</v>
      </c>
      <c r="L2">
        <v>18494</v>
      </c>
      <c r="M2">
        <v>2324</v>
      </c>
      <c r="N2">
        <v>1897</v>
      </c>
      <c r="O2">
        <v>492314</v>
      </c>
      <c r="P2">
        <f>K2+L2+M2+N2</f>
        <v>45845</v>
      </c>
      <c r="Q2">
        <f>P2/O2</f>
        <v>9.3121463131253635E-2</v>
      </c>
    </row>
    <row r="3" spans="1:17" x14ac:dyDescent="0.25">
      <c r="A3" t="s">
        <v>1</v>
      </c>
      <c r="B3">
        <v>21105</v>
      </c>
      <c r="C3">
        <v>11949</v>
      </c>
      <c r="D3">
        <v>432</v>
      </c>
      <c r="E3">
        <v>41811</v>
      </c>
      <c r="F3">
        <f t="shared" ref="F3:F4" si="0">B3-C3+D3</f>
        <v>9588</v>
      </c>
      <c r="G3">
        <f t="shared" ref="G3:G4" si="1">F3/E3</f>
        <v>0.22931764368228458</v>
      </c>
      <c r="H3" s="1">
        <f t="shared" ref="H3:H4" si="2">C3/E3</f>
        <v>0.28578603716725265</v>
      </c>
      <c r="J3" t="s">
        <v>1</v>
      </c>
      <c r="K3">
        <v>15636</v>
      </c>
      <c r="L3">
        <v>7132</v>
      </c>
      <c r="M3">
        <v>1032</v>
      </c>
      <c r="N3">
        <v>712</v>
      </c>
      <c r="O3">
        <v>293497</v>
      </c>
      <c r="P3">
        <f>K3+L3+M3+N3</f>
        <v>24512</v>
      </c>
      <c r="Q3">
        <f t="shared" ref="Q3:Q4" si="3">P3/O3</f>
        <v>8.351703765285505E-2</v>
      </c>
    </row>
    <row r="4" spans="1:17" x14ac:dyDescent="0.25">
      <c r="A4" t="s">
        <v>3</v>
      </c>
      <c r="B4">
        <f t="shared" ref="B4:D4" si="4">SUM(B2:B3)</f>
        <v>43605</v>
      </c>
      <c r="C4">
        <f t="shared" si="4"/>
        <v>25921</v>
      </c>
      <c r="D4">
        <f t="shared" si="4"/>
        <v>618</v>
      </c>
      <c r="E4">
        <f>SUM(E2:E3)</f>
        <v>81700</v>
      </c>
      <c r="F4">
        <f t="shared" si="0"/>
        <v>18302</v>
      </c>
      <c r="G4" s="1">
        <f t="shared" si="1"/>
        <v>0.22401468788249693</v>
      </c>
      <c r="H4" s="1">
        <f t="shared" si="2"/>
        <v>0.31727050183598532</v>
      </c>
      <c r="J4" t="s">
        <v>3</v>
      </c>
      <c r="K4">
        <f t="shared" ref="K4:N4" si="5">SUM(K2:K3)</f>
        <v>38766</v>
      </c>
      <c r="L4">
        <f t="shared" si="5"/>
        <v>25626</v>
      </c>
      <c r="M4">
        <f t="shared" si="5"/>
        <v>3356</v>
      </c>
      <c r="N4">
        <f t="shared" si="5"/>
        <v>2609</v>
      </c>
      <c r="O4">
        <f>SUM(O2:O3)</f>
        <v>785811</v>
      </c>
      <c r="P4">
        <f>K4+L4+M4+N4</f>
        <v>70357</v>
      </c>
      <c r="Q4" s="1">
        <f t="shared" si="3"/>
        <v>8.9534251874814688E-2</v>
      </c>
    </row>
    <row r="6" spans="1:17" x14ac:dyDescent="0.25">
      <c r="A6" t="s">
        <v>10</v>
      </c>
      <c r="B6" t="s">
        <v>4</v>
      </c>
      <c r="C6" t="s">
        <v>5</v>
      </c>
      <c r="D6" t="s">
        <v>6</v>
      </c>
      <c r="E6" t="s">
        <v>7</v>
      </c>
      <c r="F6" t="s">
        <v>8</v>
      </c>
      <c r="G6" t="s">
        <v>9</v>
      </c>
      <c r="H6" t="s">
        <v>16</v>
      </c>
    </row>
    <row r="7" spans="1:17" x14ac:dyDescent="0.25">
      <c r="A7" t="s">
        <v>2</v>
      </c>
      <c r="B7">
        <v>37106</v>
      </c>
      <c r="C7">
        <v>7019</v>
      </c>
      <c r="D7">
        <v>1162</v>
      </c>
      <c r="E7">
        <v>53069</v>
      </c>
      <c r="F7">
        <f>B7-C7+D7</f>
        <v>31249</v>
      </c>
      <c r="G7">
        <f>F7/E7</f>
        <v>0.58883717424485105</v>
      </c>
      <c r="H7" s="1">
        <f>C7/E7</f>
        <v>0.1322617724095046</v>
      </c>
    </row>
    <row r="8" spans="1:17" x14ac:dyDescent="0.25">
      <c r="A8" t="s">
        <v>1</v>
      </c>
      <c r="B8">
        <v>23495</v>
      </c>
      <c r="C8">
        <v>17605</v>
      </c>
      <c r="D8">
        <v>438</v>
      </c>
      <c r="E8">
        <v>27752</v>
      </c>
      <c r="F8">
        <f t="shared" ref="F8:F9" si="6">B8-C8+D8</f>
        <v>6328</v>
      </c>
      <c r="G8">
        <f t="shared" ref="G8:G9" si="7">F8/E8</f>
        <v>0.22801960219083309</v>
      </c>
      <c r="H8" s="1">
        <f t="shared" ref="H8:H9" si="8">C8/E8</f>
        <v>0.63436869414816954</v>
      </c>
    </row>
    <row r="9" spans="1:17" x14ac:dyDescent="0.25">
      <c r="A9" t="s">
        <v>3</v>
      </c>
      <c r="B9">
        <f t="shared" ref="B9" si="9">SUM(B7:B8)</f>
        <v>60601</v>
      </c>
      <c r="C9">
        <f t="shared" ref="C9" si="10">SUM(C7:C8)</f>
        <v>24624</v>
      </c>
      <c r="D9">
        <f t="shared" ref="D9" si="11">SUM(D7:D8)</f>
        <v>1600</v>
      </c>
      <c r="E9">
        <f>SUM(E7:E8)</f>
        <v>80821</v>
      </c>
      <c r="F9">
        <f t="shared" si="6"/>
        <v>37577</v>
      </c>
      <c r="G9" s="1">
        <f t="shared" si="7"/>
        <v>0.46494104255082219</v>
      </c>
      <c r="H9" s="1">
        <f t="shared" si="8"/>
        <v>0.30467329035770407</v>
      </c>
    </row>
    <row r="11" spans="1:17" x14ac:dyDescent="0.25">
      <c r="A11" t="s">
        <v>11</v>
      </c>
      <c r="B11" t="s">
        <v>4</v>
      </c>
      <c r="C11" t="s">
        <v>5</v>
      </c>
      <c r="D11" t="s">
        <v>6</v>
      </c>
      <c r="E11" t="s">
        <v>7</v>
      </c>
      <c r="F11" t="s">
        <v>8</v>
      </c>
      <c r="G11" t="s">
        <v>9</v>
      </c>
      <c r="H11" t="s">
        <v>16</v>
      </c>
    </row>
    <row r="12" spans="1:17" x14ac:dyDescent="0.25">
      <c r="A12" t="s">
        <v>2</v>
      </c>
      <c r="B12">
        <v>19053</v>
      </c>
      <c r="C12">
        <v>921</v>
      </c>
      <c r="D12">
        <v>297</v>
      </c>
      <c r="E12">
        <v>22207</v>
      </c>
      <c r="F12">
        <f>B12-C12+D12</f>
        <v>18429</v>
      </c>
      <c r="G12">
        <f>F12/E12</f>
        <v>0.82987346332237588</v>
      </c>
      <c r="H12" s="1">
        <f>C12/E12</f>
        <v>4.1473409285360474E-2</v>
      </c>
    </row>
    <row r="13" spans="1:17" x14ac:dyDescent="0.25">
      <c r="A13" t="s">
        <v>1</v>
      </c>
      <c r="B13">
        <v>7562</v>
      </c>
      <c r="C13">
        <v>2073</v>
      </c>
      <c r="D13">
        <v>454</v>
      </c>
      <c r="E13">
        <v>11696</v>
      </c>
      <c r="F13">
        <f t="shared" ref="F13:F14" si="12">B13-C13+D13</f>
        <v>5943</v>
      </c>
      <c r="G13">
        <f t="shared" ref="G13:G14" si="13">F13/E13</f>
        <v>0.50812243502051979</v>
      </c>
      <c r="H13" s="1">
        <f t="shared" ref="H13:H14" si="14">C13/E13</f>
        <v>0.17724008207934336</v>
      </c>
    </row>
    <row r="14" spans="1:17" x14ac:dyDescent="0.25">
      <c r="A14" t="s">
        <v>3</v>
      </c>
      <c r="B14">
        <f t="shared" ref="B14" si="15">SUM(B12:B13)</f>
        <v>26615</v>
      </c>
      <c r="C14">
        <f t="shared" ref="C14" si="16">SUM(C12:C13)</f>
        <v>2994</v>
      </c>
      <c r="D14">
        <f t="shared" ref="D14" si="17">SUM(D12:D13)</f>
        <v>751</v>
      </c>
      <c r="E14">
        <f>SUM(E12:E13)</f>
        <v>33903</v>
      </c>
      <c r="F14">
        <f t="shared" si="12"/>
        <v>24372</v>
      </c>
      <c r="G14" s="1">
        <f t="shared" si="13"/>
        <v>0.71887443589062916</v>
      </c>
      <c r="H14" s="1">
        <f t="shared" si="14"/>
        <v>8.831076895849925E-2</v>
      </c>
    </row>
    <row r="16" spans="1:17" x14ac:dyDescent="0.25">
      <c r="A16" t="s">
        <v>12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9</v>
      </c>
      <c r="H16" t="s">
        <v>16</v>
      </c>
    </row>
    <row r="17" spans="1:8" x14ac:dyDescent="0.25">
      <c r="A17" t="s">
        <v>2</v>
      </c>
      <c r="B17">
        <v>1973</v>
      </c>
      <c r="C17">
        <v>794</v>
      </c>
      <c r="D17">
        <v>86</v>
      </c>
      <c r="E17">
        <v>2965</v>
      </c>
      <c r="F17">
        <f>B17-C17+D17</f>
        <v>1265</v>
      </c>
      <c r="G17">
        <f>F17/E17</f>
        <v>0.42664418212478922</v>
      </c>
      <c r="H17" s="1">
        <f>C17/E17</f>
        <v>0.26779089376053961</v>
      </c>
    </row>
    <row r="18" spans="1:8" x14ac:dyDescent="0.25">
      <c r="A18" t="s">
        <v>1</v>
      </c>
      <c r="B18">
        <v>3203</v>
      </c>
      <c r="C18">
        <v>1785</v>
      </c>
      <c r="D18">
        <v>127</v>
      </c>
      <c r="E18">
        <v>5324</v>
      </c>
      <c r="F18">
        <f t="shared" ref="F18:F19" si="18">B18-C18+D18</f>
        <v>1545</v>
      </c>
      <c r="G18">
        <f t="shared" ref="G18:G19" si="19">F18/E18</f>
        <v>0.29019534184823442</v>
      </c>
      <c r="H18" s="1">
        <f t="shared" ref="H18:H19" si="20">C18/E18</f>
        <v>0.33527422990232908</v>
      </c>
    </row>
    <row r="19" spans="1:8" x14ac:dyDescent="0.25">
      <c r="A19" t="s">
        <v>3</v>
      </c>
      <c r="B19">
        <f t="shared" ref="B19" si="21">SUM(B17:B18)</f>
        <v>5176</v>
      </c>
      <c r="C19">
        <f t="shared" ref="C19" si="22">SUM(C17:C18)</f>
        <v>2579</v>
      </c>
      <c r="D19">
        <f t="shared" ref="D19" si="23">SUM(D17:D18)</f>
        <v>213</v>
      </c>
      <c r="E19">
        <f>SUM(E17:E18)</f>
        <v>8289</v>
      </c>
      <c r="F19">
        <f t="shared" si="18"/>
        <v>2810</v>
      </c>
      <c r="G19" s="1">
        <f t="shared" si="19"/>
        <v>0.33900349861261914</v>
      </c>
      <c r="H19" s="1">
        <f t="shared" si="20"/>
        <v>0.31113523947400168</v>
      </c>
    </row>
    <row r="20" spans="1:8" x14ac:dyDescent="0.25">
      <c r="G20" s="1"/>
    </row>
    <row r="22" spans="1:8" x14ac:dyDescent="0.25">
      <c r="A22" s="2" t="s">
        <v>13</v>
      </c>
    </row>
  </sheetData>
  <hyperlinks>
    <hyperlink ref="A22" r:id="rId1" xr:uid="{054DAB19-AF0C-4AD8-A1D1-E4794718B40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FB8C-C702-4CB1-8C3A-A823CE50EEC1}">
  <dimension ref="A1:Q19"/>
  <sheetViews>
    <sheetView tabSelected="1" workbookViewId="0">
      <selection activeCell="H28" sqref="H28"/>
    </sheetView>
  </sheetViews>
  <sheetFormatPr defaultRowHeight="15" x14ac:dyDescent="0.25"/>
  <sheetData>
    <row r="1" spans="1:17" x14ac:dyDescent="0.25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15</v>
      </c>
      <c r="H1" t="s">
        <v>16</v>
      </c>
      <c r="J1" t="s">
        <v>5</v>
      </c>
      <c r="K1" t="s">
        <v>0</v>
      </c>
      <c r="L1" t="s">
        <v>10</v>
      </c>
      <c r="M1" t="s">
        <v>11</v>
      </c>
      <c r="N1" t="s">
        <v>12</v>
      </c>
      <c r="O1" t="s">
        <v>7</v>
      </c>
      <c r="P1" t="s">
        <v>14</v>
      </c>
      <c r="Q1" t="s">
        <v>9</v>
      </c>
    </row>
    <row r="2" spans="1:17" x14ac:dyDescent="0.25">
      <c r="A2" t="s">
        <v>2</v>
      </c>
      <c r="B2">
        <v>22500</v>
      </c>
      <c r="C2">
        <v>13972</v>
      </c>
      <c r="D2">
        <v>186</v>
      </c>
      <c r="E2">
        <v>39889</v>
      </c>
      <c r="F2">
        <f>B2-C2+D2</f>
        <v>8714</v>
      </c>
      <c r="G2" s="1">
        <f>F2/E2</f>
        <v>0.21845621599939832</v>
      </c>
      <c r="H2" s="1">
        <f>C2/E2</f>
        <v>0.35027200481335707</v>
      </c>
      <c r="J2" t="s">
        <v>2</v>
      </c>
      <c r="K2">
        <v>23130</v>
      </c>
      <c r="L2">
        <v>18494</v>
      </c>
      <c r="M2">
        <v>2324</v>
      </c>
      <c r="N2">
        <v>1897</v>
      </c>
      <c r="O2">
        <v>492314</v>
      </c>
      <c r="P2">
        <f>K2+L2+M2+N2</f>
        <v>45845</v>
      </c>
      <c r="Q2">
        <f>P2/O2</f>
        <v>9.3121463131253635E-2</v>
      </c>
    </row>
    <row r="3" spans="1:17" x14ac:dyDescent="0.25">
      <c r="A3" t="s">
        <v>1</v>
      </c>
      <c r="B3">
        <v>21105</v>
      </c>
      <c r="C3">
        <v>11949</v>
      </c>
      <c r="D3">
        <v>432</v>
      </c>
      <c r="E3">
        <v>41811</v>
      </c>
      <c r="F3">
        <f t="shared" ref="F3:F4" si="0">B3-C3+D3</f>
        <v>9588</v>
      </c>
      <c r="G3" s="1">
        <f t="shared" ref="G3:G4" si="1">F3/E3</f>
        <v>0.22931764368228458</v>
      </c>
      <c r="H3" s="1">
        <f t="shared" ref="H3:H4" si="2">C3/E3</f>
        <v>0.28578603716725265</v>
      </c>
      <c r="J3" t="s">
        <v>1</v>
      </c>
      <c r="K3">
        <v>15636</v>
      </c>
      <c r="L3">
        <v>7132</v>
      </c>
      <c r="M3">
        <v>1032</v>
      </c>
      <c r="N3">
        <v>712</v>
      </c>
      <c r="O3">
        <v>293497</v>
      </c>
      <c r="P3">
        <f>K3+L3+M3+N3</f>
        <v>24512</v>
      </c>
      <c r="Q3">
        <f t="shared" ref="Q3:Q4" si="3">P3/O3</f>
        <v>8.351703765285505E-2</v>
      </c>
    </row>
    <row r="4" spans="1:17" x14ac:dyDescent="0.25">
      <c r="A4" t="s">
        <v>3</v>
      </c>
      <c r="B4">
        <f t="shared" ref="B4:D4" si="4">SUM(B2:B3)</f>
        <v>43605</v>
      </c>
      <c r="C4">
        <f t="shared" si="4"/>
        <v>25921</v>
      </c>
      <c r="D4">
        <f t="shared" si="4"/>
        <v>618</v>
      </c>
      <c r="E4">
        <f>SUM(E2:E3)</f>
        <v>81700</v>
      </c>
      <c r="F4">
        <f t="shared" si="0"/>
        <v>18302</v>
      </c>
      <c r="G4" s="1">
        <f t="shared" si="1"/>
        <v>0.22401468788249693</v>
      </c>
      <c r="H4" s="1">
        <f t="shared" si="2"/>
        <v>0.31727050183598532</v>
      </c>
      <c r="J4" t="s">
        <v>3</v>
      </c>
      <c r="K4">
        <f t="shared" ref="K4:N4" si="5">SUM(K2:K3)</f>
        <v>38766</v>
      </c>
      <c r="L4">
        <f t="shared" si="5"/>
        <v>25626</v>
      </c>
      <c r="M4">
        <f t="shared" si="5"/>
        <v>3356</v>
      </c>
      <c r="N4">
        <f t="shared" si="5"/>
        <v>2609</v>
      </c>
      <c r="O4">
        <f>SUM(O2:O3)</f>
        <v>785811</v>
      </c>
      <c r="P4">
        <f>K4+L4+M4+N4</f>
        <v>70357</v>
      </c>
      <c r="Q4" s="1">
        <f t="shared" si="3"/>
        <v>8.9534251874814688E-2</v>
      </c>
    </row>
    <row r="6" spans="1:17" x14ac:dyDescent="0.25">
      <c r="A6" t="s">
        <v>10</v>
      </c>
      <c r="B6" t="s">
        <v>4</v>
      </c>
      <c r="C6" t="s">
        <v>5</v>
      </c>
      <c r="D6" t="s">
        <v>6</v>
      </c>
      <c r="E6" t="s">
        <v>7</v>
      </c>
      <c r="F6" t="s">
        <v>8</v>
      </c>
      <c r="G6" t="s">
        <v>15</v>
      </c>
      <c r="H6" t="s">
        <v>16</v>
      </c>
      <c r="J6" t="s">
        <v>10</v>
      </c>
      <c r="K6" t="s">
        <v>4</v>
      </c>
      <c r="L6" t="s">
        <v>5</v>
      </c>
      <c r="M6" t="s">
        <v>6</v>
      </c>
      <c r="N6" t="s">
        <v>7</v>
      </c>
      <c r="O6" t="s">
        <v>8</v>
      </c>
      <c r="P6" t="s">
        <v>15</v>
      </c>
      <c r="Q6" t="s">
        <v>16</v>
      </c>
    </row>
    <row r="7" spans="1:17" x14ac:dyDescent="0.25">
      <c r="A7" t="s">
        <v>2</v>
      </c>
      <c r="B7">
        <v>50591</v>
      </c>
      <c r="C7">
        <v>8781</v>
      </c>
      <c r="D7">
        <v>1704</v>
      </c>
      <c r="E7">
        <v>76140</v>
      </c>
      <c r="F7">
        <f>B7-C7+D7</f>
        <v>43514</v>
      </c>
      <c r="G7" s="1">
        <f>F7/E7</f>
        <v>0.57149986866298919</v>
      </c>
      <c r="H7" s="1">
        <f>C7/E7</f>
        <v>0.11532702915681639</v>
      </c>
      <c r="J7" t="s">
        <v>2</v>
      </c>
      <c r="K7">
        <f>B7-'2021'!B7</f>
        <v>13485</v>
      </c>
      <c r="L7">
        <f>C7-'2021'!C7</f>
        <v>1762</v>
      </c>
      <c r="M7">
        <f>D7-'2021'!D7</f>
        <v>542</v>
      </c>
      <c r="N7">
        <f>E7-'2021'!E7</f>
        <v>23071</v>
      </c>
      <c r="O7">
        <f>K7-L7+M7</f>
        <v>12265</v>
      </c>
      <c r="P7" s="1">
        <f>G7-'2021'!G7</f>
        <v>-1.7337305581861862E-2</v>
      </c>
      <c r="Q7" s="1">
        <f>H7-'2021'!H7</f>
        <v>-1.6934743252688206E-2</v>
      </c>
    </row>
    <row r="8" spans="1:17" x14ac:dyDescent="0.25">
      <c r="A8" t="s">
        <v>1</v>
      </c>
      <c r="B8">
        <v>24851</v>
      </c>
      <c r="C8">
        <v>17343</v>
      </c>
      <c r="D8">
        <v>555</v>
      </c>
      <c r="E8">
        <v>30952</v>
      </c>
      <c r="F8">
        <f t="shared" ref="F8:F9" si="6">B8-C8+D8</f>
        <v>8063</v>
      </c>
      <c r="G8" s="1">
        <f t="shared" ref="G8:G9" si="7">F8/E8</f>
        <v>0.26050012923235977</v>
      </c>
      <c r="H8" s="1">
        <f t="shared" ref="H8:H9" si="8">C8/E8</f>
        <v>0.56031920392866374</v>
      </c>
      <c r="J8" t="s">
        <v>1</v>
      </c>
      <c r="K8">
        <f>B8-'2021'!B8</f>
        <v>1356</v>
      </c>
      <c r="L8">
        <f>C8-'2021'!C8</f>
        <v>-262</v>
      </c>
      <c r="M8">
        <f>D8-'2021'!D8</f>
        <v>117</v>
      </c>
      <c r="N8">
        <f>E8-'2021'!E8</f>
        <v>3200</v>
      </c>
      <c r="O8">
        <f t="shared" ref="O8:O9" si="9">K8-L8+M8</f>
        <v>1735</v>
      </c>
      <c r="P8" s="1">
        <f>G8-'2021'!G8</f>
        <v>3.248052704152668E-2</v>
      </c>
      <c r="Q8" s="1">
        <f>H8-'2021'!H8</f>
        <v>-7.4049490219505798E-2</v>
      </c>
    </row>
    <row r="9" spans="1:17" x14ac:dyDescent="0.25">
      <c r="A9" t="s">
        <v>3</v>
      </c>
      <c r="B9">
        <f t="shared" ref="B9:D9" si="10">SUM(B7:B8)</f>
        <v>75442</v>
      </c>
      <c r="C9">
        <f t="shared" si="10"/>
        <v>26124</v>
      </c>
      <c r="D9">
        <f t="shared" si="10"/>
        <v>2259</v>
      </c>
      <c r="E9">
        <f>SUM(E7:E8)</f>
        <v>107092</v>
      </c>
      <c r="F9">
        <f t="shared" si="6"/>
        <v>51577</v>
      </c>
      <c r="G9" s="1">
        <f t="shared" si="7"/>
        <v>0.48161393941657638</v>
      </c>
      <c r="H9" s="1">
        <f t="shared" si="8"/>
        <v>0.24393979008702799</v>
      </c>
      <c r="J9" t="s">
        <v>3</v>
      </c>
      <c r="K9">
        <f t="shared" ref="K9:M9" si="11">SUM(K7:K8)</f>
        <v>14841</v>
      </c>
      <c r="L9">
        <f t="shared" si="11"/>
        <v>1500</v>
      </c>
      <c r="M9">
        <f t="shared" si="11"/>
        <v>659</v>
      </c>
      <c r="N9">
        <f>SUM(N7:N8)</f>
        <v>26271</v>
      </c>
      <c r="O9">
        <f t="shared" si="9"/>
        <v>14000</v>
      </c>
      <c r="P9" s="1">
        <f>G9-'2021'!G9</f>
        <v>1.6672896865754183E-2</v>
      </c>
      <c r="Q9" s="1">
        <f>H9-'2021'!H9</f>
        <v>-6.0733500270676088E-2</v>
      </c>
    </row>
    <row r="11" spans="1:17" x14ac:dyDescent="0.25">
      <c r="A11" t="s">
        <v>11</v>
      </c>
      <c r="B11" t="s">
        <v>4</v>
      </c>
      <c r="C11" t="s">
        <v>5</v>
      </c>
      <c r="D11" t="s">
        <v>6</v>
      </c>
      <c r="E11" t="s">
        <v>7</v>
      </c>
      <c r="F11" t="s">
        <v>8</v>
      </c>
      <c r="G11" t="s">
        <v>15</v>
      </c>
      <c r="H11" t="s">
        <v>16</v>
      </c>
      <c r="J11" t="s">
        <v>11</v>
      </c>
      <c r="K11" t="s">
        <v>4</v>
      </c>
      <c r="L11" t="s">
        <v>5</v>
      </c>
      <c r="M11" t="s">
        <v>6</v>
      </c>
      <c r="N11" t="s">
        <v>7</v>
      </c>
      <c r="O11" t="s">
        <v>8</v>
      </c>
      <c r="P11" t="s">
        <v>15</v>
      </c>
      <c r="Q11" t="s">
        <v>16</v>
      </c>
    </row>
    <row r="12" spans="1:17" x14ac:dyDescent="0.25">
      <c r="A12" t="s">
        <v>2</v>
      </c>
      <c r="B12">
        <v>32085</v>
      </c>
      <c r="C12">
        <v>975</v>
      </c>
      <c r="D12">
        <v>91</v>
      </c>
      <c r="E12">
        <v>38146</v>
      </c>
      <c r="F12">
        <f>B12-C12+D12</f>
        <v>31201</v>
      </c>
      <c r="G12" s="1">
        <f>F12/E12</f>
        <v>0.81793634981387298</v>
      </c>
      <c r="H12" s="1">
        <f>C12/E12</f>
        <v>2.5559691710795366E-2</v>
      </c>
      <c r="J12" t="s">
        <v>2</v>
      </c>
      <c r="K12">
        <f>B12-'2021'!B12</f>
        <v>13032</v>
      </c>
      <c r="L12">
        <f>C12-'2021'!C12</f>
        <v>54</v>
      </c>
      <c r="M12">
        <f>D12-'2021'!D12</f>
        <v>-206</v>
      </c>
      <c r="N12">
        <f>E12-'2021'!E12</f>
        <v>15939</v>
      </c>
      <c r="O12">
        <f>K12-L12+M12</f>
        <v>12772</v>
      </c>
      <c r="P12" s="1">
        <f>G12-'2021'!G12</f>
        <v>-1.1937113508502906E-2</v>
      </c>
      <c r="Q12" s="1">
        <f>H12-'2021'!H12</f>
        <v>-1.5913717574565108E-2</v>
      </c>
    </row>
    <row r="13" spans="1:17" x14ac:dyDescent="0.25">
      <c r="A13" t="s">
        <v>1</v>
      </c>
      <c r="B13">
        <v>9583</v>
      </c>
      <c r="C13">
        <v>2733</v>
      </c>
      <c r="D13">
        <v>492</v>
      </c>
      <c r="E13">
        <v>14536</v>
      </c>
      <c r="F13">
        <f t="shared" ref="F13:F14" si="12">B13-C13+D13</f>
        <v>7342</v>
      </c>
      <c r="G13" s="1">
        <f t="shared" ref="G13:G14" si="13">F13/E13</f>
        <v>0.50509080902586678</v>
      </c>
      <c r="H13" s="1">
        <f t="shared" ref="H13:H14" si="14">C13/E13</f>
        <v>0.18801596037424326</v>
      </c>
      <c r="J13" t="s">
        <v>1</v>
      </c>
      <c r="K13">
        <f>B13-'2021'!B13</f>
        <v>2021</v>
      </c>
      <c r="L13">
        <f>C13-'2021'!C13</f>
        <v>660</v>
      </c>
      <c r="M13">
        <f>D13-'2021'!D13</f>
        <v>38</v>
      </c>
      <c r="N13">
        <f>E13-'2021'!E13</f>
        <v>2840</v>
      </c>
      <c r="O13">
        <f t="shared" ref="O13:O14" si="15">K13-L13+M13</f>
        <v>1399</v>
      </c>
      <c r="P13" s="1">
        <f>G13-'2021'!G13</f>
        <v>-3.0316259946530089E-3</v>
      </c>
      <c r="Q13" s="1">
        <f>H13-'2021'!H13</f>
        <v>1.0775878294899899E-2</v>
      </c>
    </row>
    <row r="14" spans="1:17" x14ac:dyDescent="0.25">
      <c r="A14" t="s">
        <v>3</v>
      </c>
      <c r="B14">
        <f t="shared" ref="B14:D14" si="16">SUM(B12:B13)</f>
        <v>41668</v>
      </c>
      <c r="C14">
        <f t="shared" si="16"/>
        <v>3708</v>
      </c>
      <c r="D14">
        <f t="shared" si="16"/>
        <v>583</v>
      </c>
      <c r="E14">
        <f>SUM(E12:E13)</f>
        <v>52682</v>
      </c>
      <c r="F14">
        <f t="shared" si="12"/>
        <v>38543</v>
      </c>
      <c r="G14" s="1">
        <f t="shared" si="13"/>
        <v>0.73161611176492924</v>
      </c>
      <c r="H14" s="1">
        <f t="shared" si="14"/>
        <v>7.038457158042595E-2</v>
      </c>
      <c r="J14" t="s">
        <v>3</v>
      </c>
      <c r="K14">
        <f t="shared" ref="K14:M14" si="17">SUM(K12:K13)</f>
        <v>15053</v>
      </c>
      <c r="L14">
        <f t="shared" si="17"/>
        <v>714</v>
      </c>
      <c r="M14">
        <f t="shared" si="17"/>
        <v>-168</v>
      </c>
      <c r="N14">
        <f>SUM(N12:N13)</f>
        <v>18779</v>
      </c>
      <c r="O14">
        <f t="shared" si="15"/>
        <v>14171</v>
      </c>
      <c r="P14" s="1">
        <f>G14-'2021'!G14</f>
        <v>1.2741675874300085E-2</v>
      </c>
      <c r="Q14" s="1">
        <f>H14-'2021'!H14</f>
        <v>-1.79261973780733E-2</v>
      </c>
    </row>
    <row r="16" spans="1:17" x14ac:dyDescent="0.25">
      <c r="A16" t="s">
        <v>12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15</v>
      </c>
      <c r="H16" t="s">
        <v>16</v>
      </c>
      <c r="J16" t="s">
        <v>12</v>
      </c>
      <c r="K16" t="s">
        <v>4</v>
      </c>
      <c r="L16" t="s">
        <v>5</v>
      </c>
      <c r="M16" t="s">
        <v>6</v>
      </c>
      <c r="N16" t="s">
        <v>7</v>
      </c>
      <c r="O16" t="s">
        <v>8</v>
      </c>
      <c r="P16" t="s">
        <v>15</v>
      </c>
      <c r="Q16" t="s">
        <v>16</v>
      </c>
    </row>
    <row r="17" spans="1:17" x14ac:dyDescent="0.25">
      <c r="A17" t="s">
        <v>2</v>
      </c>
      <c r="B17">
        <v>3818</v>
      </c>
      <c r="C17">
        <v>2417</v>
      </c>
      <c r="D17">
        <v>84</v>
      </c>
      <c r="E17">
        <v>5364</v>
      </c>
      <c r="F17">
        <f>B17-C17+D17</f>
        <v>1485</v>
      </c>
      <c r="G17" s="1">
        <f>F17/E17</f>
        <v>0.27684563758389263</v>
      </c>
      <c r="H17" s="1">
        <f>C17/E17</f>
        <v>0.45059656972408652</v>
      </c>
      <c r="J17" t="s">
        <v>2</v>
      </c>
      <c r="K17">
        <f>B17-'2021'!B17</f>
        <v>1845</v>
      </c>
      <c r="L17">
        <f>C17-'2021'!C17</f>
        <v>1623</v>
      </c>
      <c r="M17">
        <f>D17-'2021'!D17</f>
        <v>-2</v>
      </c>
      <c r="N17">
        <f>E17-'2021'!E17</f>
        <v>2399</v>
      </c>
      <c r="O17">
        <f>K17-L17+M17</f>
        <v>220</v>
      </c>
      <c r="P17" s="1">
        <f>G17-'2021'!G17</f>
        <v>-0.14979854454089658</v>
      </c>
      <c r="Q17" s="1">
        <f>H17-'2021'!H17</f>
        <v>0.18280567596354691</v>
      </c>
    </row>
    <row r="18" spans="1:17" x14ac:dyDescent="0.25">
      <c r="A18" t="s">
        <v>1</v>
      </c>
      <c r="B18">
        <v>4879</v>
      </c>
      <c r="C18">
        <v>2637</v>
      </c>
      <c r="D18">
        <v>398</v>
      </c>
      <c r="E18">
        <v>8650</v>
      </c>
      <c r="F18">
        <f t="shared" ref="F18:F19" si="18">B18-C18+D18</f>
        <v>2640</v>
      </c>
      <c r="G18" s="1">
        <f t="shared" ref="G18:G19" si="19">F18/E18</f>
        <v>0.30520231213872834</v>
      </c>
      <c r="H18" s="1">
        <f t="shared" ref="H18:H19" si="20">C18/E18</f>
        <v>0.30485549132947976</v>
      </c>
      <c r="J18" t="s">
        <v>1</v>
      </c>
      <c r="K18">
        <f>B18-'2021'!B18</f>
        <v>1676</v>
      </c>
      <c r="L18">
        <f>C18-'2021'!C18</f>
        <v>852</v>
      </c>
      <c r="M18">
        <f>D18-'2021'!D18</f>
        <v>271</v>
      </c>
      <c r="N18">
        <f>E18-'2021'!E18</f>
        <v>3326</v>
      </c>
      <c r="O18">
        <f t="shared" ref="O18:O19" si="21">K18-L18+M18</f>
        <v>1095</v>
      </c>
      <c r="P18" s="1">
        <f>G18-'2021'!G18</f>
        <v>1.5006970290493915E-2</v>
      </c>
      <c r="Q18" s="1">
        <f>H18-'2021'!H18</f>
        <v>-3.0418738572849324E-2</v>
      </c>
    </row>
    <row r="19" spans="1:17" x14ac:dyDescent="0.25">
      <c r="A19" t="s">
        <v>3</v>
      </c>
      <c r="B19">
        <f t="shared" ref="B19:D19" si="22">SUM(B17:B18)</f>
        <v>8697</v>
      </c>
      <c r="C19">
        <f t="shared" si="22"/>
        <v>5054</v>
      </c>
      <c r="D19">
        <f t="shared" si="22"/>
        <v>482</v>
      </c>
      <c r="E19">
        <f>SUM(E17:E18)</f>
        <v>14014</v>
      </c>
      <c r="F19">
        <f t="shared" si="18"/>
        <v>4125</v>
      </c>
      <c r="G19" s="1">
        <f t="shared" si="19"/>
        <v>0.29434850863422291</v>
      </c>
      <c r="H19" s="1">
        <f t="shared" si="20"/>
        <v>0.36063936063936064</v>
      </c>
      <c r="J19" t="s">
        <v>3</v>
      </c>
      <c r="K19">
        <f t="shared" ref="K19:M19" si="23">SUM(K17:K18)</f>
        <v>3521</v>
      </c>
      <c r="L19">
        <f t="shared" si="23"/>
        <v>2475</v>
      </c>
      <c r="M19">
        <f t="shared" si="23"/>
        <v>269</v>
      </c>
      <c r="N19">
        <f>SUM(N17:N18)</f>
        <v>5725</v>
      </c>
      <c r="O19">
        <f t="shared" si="21"/>
        <v>1315</v>
      </c>
      <c r="P19" s="1">
        <f>G19-'2021'!G19</f>
        <v>-4.4654989978396231E-2</v>
      </c>
      <c r="Q19" s="1">
        <f>H19-'2021'!H19</f>
        <v>4.9504121165358961E-2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9185D-7A30-4AF2-A5D7-32A07A35B276}">
  <dimension ref="A1:Q19"/>
  <sheetViews>
    <sheetView workbookViewId="0">
      <selection sqref="A1:Q19"/>
    </sheetView>
  </sheetViews>
  <sheetFormatPr defaultRowHeight="15" x14ac:dyDescent="0.25"/>
  <sheetData>
    <row r="1" spans="1:17" x14ac:dyDescent="0.25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J1" t="s">
        <v>5</v>
      </c>
      <c r="K1" t="s">
        <v>0</v>
      </c>
      <c r="L1" t="s">
        <v>10</v>
      </c>
      <c r="M1" t="s">
        <v>11</v>
      </c>
      <c r="N1" t="s">
        <v>12</v>
      </c>
      <c r="O1" t="s">
        <v>7</v>
      </c>
      <c r="P1" t="s">
        <v>14</v>
      </c>
      <c r="Q1" t="s">
        <v>9</v>
      </c>
    </row>
    <row r="2" spans="1:17" x14ac:dyDescent="0.25">
      <c r="A2" t="s">
        <v>2</v>
      </c>
      <c r="B2">
        <v>22500</v>
      </c>
      <c r="C2">
        <v>13972</v>
      </c>
      <c r="D2">
        <v>186</v>
      </c>
      <c r="E2">
        <v>39889</v>
      </c>
      <c r="F2">
        <f>B2-C2+D2</f>
        <v>8714</v>
      </c>
      <c r="G2">
        <f>F2/E2</f>
        <v>0.21845621599939832</v>
      </c>
      <c r="J2" t="s">
        <v>2</v>
      </c>
      <c r="K2">
        <v>23130</v>
      </c>
      <c r="L2">
        <v>18494</v>
      </c>
      <c r="M2">
        <v>2324</v>
      </c>
      <c r="N2">
        <v>1897</v>
      </c>
      <c r="O2">
        <v>492314</v>
      </c>
      <c r="P2">
        <f>K2+L2+M2+N2</f>
        <v>45845</v>
      </c>
      <c r="Q2">
        <f>P2/O2</f>
        <v>9.3121463131253635E-2</v>
      </c>
    </row>
    <row r="3" spans="1:17" x14ac:dyDescent="0.25">
      <c r="A3" t="s">
        <v>1</v>
      </c>
      <c r="B3">
        <v>21105</v>
      </c>
      <c r="C3">
        <v>11949</v>
      </c>
      <c r="D3">
        <v>432</v>
      </c>
      <c r="E3">
        <v>41811</v>
      </c>
      <c r="F3">
        <f t="shared" ref="F3:F4" si="0">B3-C3+D3</f>
        <v>9588</v>
      </c>
      <c r="G3">
        <f t="shared" ref="G3:G4" si="1">F3/E3</f>
        <v>0.22931764368228458</v>
      </c>
      <c r="J3" t="s">
        <v>1</v>
      </c>
      <c r="K3">
        <v>15636</v>
      </c>
      <c r="L3">
        <v>7132</v>
      </c>
      <c r="M3">
        <v>1032</v>
      </c>
      <c r="N3">
        <v>712</v>
      </c>
      <c r="O3">
        <v>293497</v>
      </c>
      <c r="P3">
        <f>K3+L3+M3+N3</f>
        <v>24512</v>
      </c>
      <c r="Q3">
        <f t="shared" ref="Q3:Q4" si="2">P3/O3</f>
        <v>8.351703765285505E-2</v>
      </c>
    </row>
    <row r="4" spans="1:17" x14ac:dyDescent="0.25">
      <c r="A4" t="s">
        <v>3</v>
      </c>
      <c r="B4">
        <f t="shared" ref="B4:D4" si="3">SUM(B2:B3)</f>
        <v>43605</v>
      </c>
      <c r="C4">
        <f t="shared" si="3"/>
        <v>25921</v>
      </c>
      <c r="D4">
        <f t="shared" si="3"/>
        <v>618</v>
      </c>
      <c r="E4">
        <f>SUM(E2:E3)</f>
        <v>81700</v>
      </c>
      <c r="F4">
        <f t="shared" si="0"/>
        <v>18302</v>
      </c>
      <c r="G4" s="1">
        <f t="shared" si="1"/>
        <v>0.22401468788249693</v>
      </c>
      <c r="J4" t="s">
        <v>3</v>
      </c>
      <c r="K4">
        <f t="shared" ref="K4:N4" si="4">SUM(K2:K3)</f>
        <v>38766</v>
      </c>
      <c r="L4">
        <f t="shared" si="4"/>
        <v>25626</v>
      </c>
      <c r="M4">
        <f t="shared" si="4"/>
        <v>3356</v>
      </c>
      <c r="N4">
        <f t="shared" si="4"/>
        <v>2609</v>
      </c>
      <c r="O4">
        <f>SUM(O2:O3)</f>
        <v>785811</v>
      </c>
      <c r="P4">
        <f>K4+L4+M4+N4</f>
        <v>70357</v>
      </c>
      <c r="Q4" s="1">
        <f t="shared" si="2"/>
        <v>8.9534251874814688E-2</v>
      </c>
    </row>
    <row r="6" spans="1:17" x14ac:dyDescent="0.25">
      <c r="A6" t="s">
        <v>10</v>
      </c>
      <c r="B6" t="s">
        <v>4</v>
      </c>
      <c r="C6" t="s">
        <v>5</v>
      </c>
      <c r="D6" t="s">
        <v>6</v>
      </c>
      <c r="E6" t="s">
        <v>7</v>
      </c>
      <c r="F6" t="s">
        <v>8</v>
      </c>
      <c r="G6" t="s">
        <v>9</v>
      </c>
    </row>
    <row r="7" spans="1:17" x14ac:dyDescent="0.25">
      <c r="A7" t="s">
        <v>2</v>
      </c>
      <c r="B7">
        <v>37106</v>
      </c>
      <c r="C7">
        <v>7019</v>
      </c>
      <c r="D7">
        <v>1162</v>
      </c>
      <c r="E7">
        <v>53069</v>
      </c>
      <c r="F7">
        <f>B7-C7+D7</f>
        <v>31249</v>
      </c>
      <c r="G7">
        <f>F7/E7</f>
        <v>0.58883717424485105</v>
      </c>
    </row>
    <row r="8" spans="1:17" x14ac:dyDescent="0.25">
      <c r="A8" t="s">
        <v>1</v>
      </c>
      <c r="B8">
        <v>23495</v>
      </c>
      <c r="C8">
        <v>17605</v>
      </c>
      <c r="D8">
        <v>438</v>
      </c>
      <c r="E8">
        <v>27752</v>
      </c>
      <c r="F8">
        <f t="shared" ref="F8:F9" si="5">B8-C8+D8</f>
        <v>6328</v>
      </c>
      <c r="G8">
        <f t="shared" ref="G8:G9" si="6">F8/E8</f>
        <v>0.22801960219083309</v>
      </c>
    </row>
    <row r="9" spans="1:17" x14ac:dyDescent="0.25">
      <c r="A9" t="s">
        <v>3</v>
      </c>
      <c r="B9">
        <f t="shared" ref="B9:D9" si="7">SUM(B7:B8)</f>
        <v>60601</v>
      </c>
      <c r="C9">
        <f t="shared" si="7"/>
        <v>24624</v>
      </c>
      <c r="D9">
        <f t="shared" si="7"/>
        <v>1600</v>
      </c>
      <c r="E9">
        <f>SUM(E7:E8)</f>
        <v>80821</v>
      </c>
      <c r="F9">
        <f t="shared" si="5"/>
        <v>37577</v>
      </c>
      <c r="G9" s="1">
        <f t="shared" si="6"/>
        <v>0.46494104255082219</v>
      </c>
    </row>
    <row r="11" spans="1:17" x14ac:dyDescent="0.25">
      <c r="A11" t="s">
        <v>11</v>
      </c>
      <c r="B11" t="s">
        <v>4</v>
      </c>
      <c r="C11" t="s">
        <v>5</v>
      </c>
      <c r="D11" t="s">
        <v>6</v>
      </c>
      <c r="E11" t="s">
        <v>7</v>
      </c>
      <c r="F11" t="s">
        <v>8</v>
      </c>
      <c r="G11" t="s">
        <v>9</v>
      </c>
    </row>
    <row r="12" spans="1:17" x14ac:dyDescent="0.25">
      <c r="A12" t="s">
        <v>2</v>
      </c>
      <c r="B12">
        <v>19053</v>
      </c>
      <c r="C12">
        <v>921</v>
      </c>
      <c r="D12">
        <v>297</v>
      </c>
      <c r="E12">
        <v>22207</v>
      </c>
      <c r="F12">
        <f>B12-C12+D12</f>
        <v>18429</v>
      </c>
      <c r="G12">
        <f>F12/E12</f>
        <v>0.82987346332237588</v>
      </c>
    </row>
    <row r="13" spans="1:17" x14ac:dyDescent="0.25">
      <c r="A13" t="s">
        <v>1</v>
      </c>
      <c r="B13">
        <v>7562</v>
      </c>
      <c r="C13">
        <v>2073</v>
      </c>
      <c r="D13">
        <v>454</v>
      </c>
      <c r="E13">
        <v>11696</v>
      </c>
      <c r="F13">
        <f t="shared" ref="F13:F14" si="8">B13-C13+D13</f>
        <v>5943</v>
      </c>
      <c r="G13">
        <f t="shared" ref="G13:G14" si="9">F13/E13</f>
        <v>0.50812243502051979</v>
      </c>
    </row>
    <row r="14" spans="1:17" x14ac:dyDescent="0.25">
      <c r="A14" t="s">
        <v>3</v>
      </c>
      <c r="B14">
        <f t="shared" ref="B14:D14" si="10">SUM(B12:B13)</f>
        <v>26615</v>
      </c>
      <c r="C14">
        <f t="shared" si="10"/>
        <v>2994</v>
      </c>
      <c r="D14">
        <f t="shared" si="10"/>
        <v>751</v>
      </c>
      <c r="E14">
        <f>SUM(E12:E13)</f>
        <v>33903</v>
      </c>
      <c r="F14">
        <f t="shared" si="8"/>
        <v>24372</v>
      </c>
      <c r="G14" s="1">
        <f t="shared" si="9"/>
        <v>0.71887443589062916</v>
      </c>
    </row>
    <row r="16" spans="1:17" x14ac:dyDescent="0.25">
      <c r="A16" t="s">
        <v>12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9</v>
      </c>
    </row>
    <row r="17" spans="1:7" x14ac:dyDescent="0.25">
      <c r="A17" t="s">
        <v>2</v>
      </c>
      <c r="B17">
        <v>1973</v>
      </c>
      <c r="C17">
        <v>794</v>
      </c>
      <c r="D17">
        <v>86</v>
      </c>
      <c r="E17">
        <v>2965</v>
      </c>
      <c r="F17">
        <f>B17-C17+D17</f>
        <v>1265</v>
      </c>
      <c r="G17">
        <f>F17/E17</f>
        <v>0.42664418212478922</v>
      </c>
    </row>
    <row r="18" spans="1:7" x14ac:dyDescent="0.25">
      <c r="A18" t="s">
        <v>1</v>
      </c>
      <c r="B18">
        <v>3203</v>
      </c>
      <c r="C18">
        <v>1785</v>
      </c>
      <c r="D18">
        <v>127</v>
      </c>
      <c r="E18">
        <v>5324</v>
      </c>
      <c r="F18">
        <f t="shared" ref="F18:F19" si="11">B18-C18+D18</f>
        <v>1545</v>
      </c>
      <c r="G18">
        <f t="shared" ref="G18:G19" si="12">F18/E18</f>
        <v>0.29019534184823442</v>
      </c>
    </row>
    <row r="19" spans="1:7" x14ac:dyDescent="0.25">
      <c r="A19" t="s">
        <v>3</v>
      </c>
      <c r="B19">
        <f t="shared" ref="B19:D19" si="13">SUM(B17:B18)</f>
        <v>5176</v>
      </c>
      <c r="C19">
        <f t="shared" si="13"/>
        <v>2579</v>
      </c>
      <c r="D19">
        <f t="shared" si="13"/>
        <v>213</v>
      </c>
      <c r="E19">
        <f>SUM(E17:E18)</f>
        <v>8289</v>
      </c>
      <c r="F19">
        <f t="shared" si="11"/>
        <v>2810</v>
      </c>
      <c r="G19" s="1">
        <f t="shared" si="12"/>
        <v>0.33900349861261914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2021</vt:lpstr>
      <vt:lpstr>2022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Moratz, Donald</dc:creator>
  <cp:lastModifiedBy>Moratz, Donald</cp:lastModifiedBy>
  <dcterms:created xsi:type="dcterms:W3CDTF">2026-03-05T16:17:03Z</dcterms:created>
  <dcterms:modified xsi:type="dcterms:W3CDTF">2026-04-08T21:44:37Z</dcterms:modified>
</cp:coreProperties>
</file>